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O\github\emissao-NFTS\docs\"/>
    </mc:Choice>
  </mc:AlternateContent>
  <xr:revisionPtr revIDLastSave="0" documentId="13_ncr:1_{2DE56C02-4C79-4A0A-B5AD-411B009E1517}" xr6:coauthVersionLast="47" xr6:coauthVersionMax="47" xr10:uidLastSave="{00000000-0000-0000-0000-000000000000}"/>
  <bookViews>
    <workbookView xWindow="-30828" yWindow="8520" windowWidth="30936" windowHeight="16776" xr2:uid="{F7113445-F0C5-44A8-BF05-18B36952101D}"/>
  </bookViews>
  <sheets>
    <sheet name="Analise_Pag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2" l="1"/>
  <c r="H20" i="2"/>
  <c r="K19" i="2"/>
  <c r="O19" i="2" s="1"/>
  <c r="K18" i="2"/>
  <c r="O18" i="2" s="1"/>
  <c r="K17" i="2"/>
  <c r="O17" i="2" s="1"/>
  <c r="K16" i="2"/>
  <c r="O16" i="2" s="1"/>
  <c r="O20" i="2" s="1"/>
  <c r="F25" i="2" s="1"/>
  <c r="K12" i="2"/>
  <c r="H12" i="2"/>
  <c r="K11" i="2"/>
  <c r="O11" i="2" s="1"/>
  <c r="O12" i="2" s="1"/>
  <c r="F24" i="2" s="1"/>
  <c r="F2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de Negreiros</author>
    <author>Silvia Torrecilha Da Silva</author>
  </authors>
  <commentList>
    <comment ref="F10" authorId="0" shapeId="0" xr:uid="{572E2867-CF45-45BC-8D15-77045F1829E0}">
      <text>
        <r>
          <rPr>
            <sz val="11"/>
            <color indexed="81"/>
            <rFont val="Segoe UI"/>
            <family val="2"/>
          </rPr>
          <t xml:space="preserve">
DT EMISSÃO INVOICE/
 CONTRATO SERV /  
DOCTO. DOAÇÃO</t>
        </r>
      </text>
    </comment>
    <comment ref="I10" authorId="1" shapeId="0" xr:uid="{9CE9335E-DA20-4A3D-A19D-C1FE619502F7}">
      <text>
        <r>
          <rPr>
            <b/>
            <sz val="12"/>
            <color indexed="81"/>
            <rFont val="Segoe UI"/>
            <family val="2"/>
          </rPr>
          <t>Silvia Torrecilha Da Silva:</t>
        </r>
        <r>
          <rPr>
            <sz val="12"/>
            <color indexed="81"/>
            <rFont val="Segoe UI"/>
            <family val="2"/>
          </rPr>
          <t xml:space="preserve">
Taxa de Venda - Quando a invocie tiver em atraso (a taxa do último dia do mês)</t>
        </r>
      </text>
    </comment>
    <comment ref="F15" authorId="0" shapeId="0" xr:uid="{C39DB17F-C879-482E-B304-E4FF3960EFB7}">
      <text>
        <r>
          <rPr>
            <sz val="11"/>
            <color indexed="81"/>
            <rFont val="Segoe UI"/>
            <family val="2"/>
          </rPr>
          <t xml:space="preserve">
DT EMISSÃO INVOICE/
 CONTRATO SERV /  
DOCTO. DOAÇÃO</t>
        </r>
      </text>
    </comment>
    <comment ref="I15" authorId="1" shapeId="0" xr:uid="{F4564EA8-5ABC-4F0B-829B-5605866FCCC9}">
      <text>
        <r>
          <rPr>
            <b/>
            <sz val="12"/>
            <color indexed="81"/>
            <rFont val="Segoe UI"/>
            <family val="2"/>
          </rPr>
          <t>Silvia Torrecilha Da Silva:</t>
        </r>
        <r>
          <rPr>
            <sz val="12"/>
            <color indexed="81"/>
            <rFont val="Segoe UI"/>
            <family val="2"/>
          </rPr>
          <t xml:space="preserve">
Taxa de Venda - Quando a invocie tiver em atraso (a taxa do último dia do mês)</t>
        </r>
      </text>
    </comment>
  </commentList>
</comments>
</file>

<file path=xl/sharedStrings.xml><?xml version="1.0" encoding="utf-8"?>
<sst xmlns="http://schemas.openxmlformats.org/spreadsheetml/2006/main" count="75" uniqueCount="49">
  <si>
    <t>EMPRESA:</t>
  </si>
  <si>
    <t xml:space="preserve">CNPJ: </t>
  </si>
  <si>
    <t>IMPOSTO ANALISADO:</t>
  </si>
  <si>
    <t>ISS</t>
  </si>
  <si>
    <t xml:space="preserve">                                                                                                                                                                                 </t>
  </si>
  <si>
    <t>DATA CONTRATO : 02/06/2026</t>
  </si>
  <si>
    <t>DATA LIQUIDAÇÃO: 03/06/2026</t>
  </si>
  <si>
    <t xml:space="preserve">CONTRATO  </t>
  </si>
  <si>
    <t xml:space="preserve">CODIGO 
BACEN </t>
  </si>
  <si>
    <t xml:space="preserve">FORNECEDOR </t>
  </si>
  <si>
    <t xml:space="preserve">INVOICE </t>
  </si>
  <si>
    <t>DT EMISSÃO</t>
  </si>
  <si>
    <t xml:space="preserve">DESCRIÇÃO SERVIÇOS  CONF.  EMAIL ENVIADO </t>
  </si>
  <si>
    <t>MOEDA 
ESTRANGEIRA</t>
  </si>
  <si>
    <t xml:space="preserve">TAXA </t>
  </si>
  <si>
    <t>MOEDA</t>
  </si>
  <si>
    <t xml:space="preserve">MOEDA 
NACIONAL </t>
  </si>
  <si>
    <t>CODIGO SERVIÇOS
 LEI 116</t>
  </si>
  <si>
    <t>%
ISS</t>
  </si>
  <si>
    <t xml:space="preserve">NFTS </t>
  </si>
  <si>
    <t>ENDEREÇO</t>
  </si>
  <si>
    <t xml:space="preserve">OBSERVAÇÕES </t>
  </si>
  <si>
    <t>STATUS</t>
  </si>
  <si>
    <t>LICENCA DE USO DE SOFTWARE</t>
  </si>
  <si>
    <t>USD</t>
  </si>
  <si>
    <t>1.05</t>
  </si>
  <si>
    <t>E260080</t>
  </si>
  <si>
    <t>LICENÇA DE USO DE SOFTWARE</t>
  </si>
  <si>
    <t>ASSISTENTE DE PESQUISA</t>
  </si>
  <si>
    <t>2.01</t>
  </si>
  <si>
    <t>SERVIÇOS DE PESQUISA E CONSULTORIA</t>
  </si>
  <si>
    <t>EUR</t>
  </si>
  <si>
    <t>MÊS</t>
  </si>
  <si>
    <t xml:space="preserve">ISS - VALOR ORIGINAL </t>
  </si>
  <si>
    <t>VENCIMENTO</t>
  </si>
  <si>
    <t>Total</t>
  </si>
  <si>
    <t>XPTO</t>
  </si>
  <si>
    <t>00.000.000/0000-00</t>
  </si>
  <si>
    <t xml:space="preserve">XPTO 1 </t>
  </si>
  <si>
    <t>XPTO 2</t>
  </si>
  <si>
    <t>XPTO 3</t>
  </si>
  <si>
    <t>XPTO 4</t>
  </si>
  <si>
    <t>XPTO 5</t>
  </si>
  <si>
    <t>Calacoto 24 A street La Paz
+999 99999999</t>
  </si>
  <si>
    <t>9999 Valley Brook Dr
Champaign (IL)
USA</t>
  </si>
  <si>
    <t>Calle Arturo Campion 9999
San Sebastian (99999) , 
Guipúzcoa, Spain</t>
  </si>
  <si>
    <t>2 Canal Park, Cambridge, MA 9999 USA</t>
  </si>
  <si>
    <t>Viale del Poggio Imperiale
99, 9999
Firenze (FI) - Italia</t>
  </si>
  <si>
    <t>Código do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</si>
</sst>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Marlett"/>
      <charset val="2"/>
    </font>
    <font>
      <sz val="10"/>
      <color theme="1"/>
      <name val="Aptos Display"/>
      <family val="2"/>
      <scheme val="major"/>
    </font>
    <font>
      <b/>
      <sz val="16"/>
      <color rgb="FFC00000"/>
      <name val="Aptos Display"/>
      <family val="2"/>
      <scheme val="major"/>
    </font>
    <font>
      <sz val="10"/>
      <color rgb="FFFF0000"/>
      <name val="Arial"/>
      <family val="2"/>
    </font>
    <font>
      <sz val="11"/>
      <color indexed="81"/>
      <name val="Segoe UI"/>
      <family val="2"/>
    </font>
    <font>
      <b/>
      <sz val="12"/>
      <color indexed="81"/>
      <name val="Segoe UI"/>
      <family val="2"/>
    </font>
    <font>
      <sz val="12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7" fontId="3" fillId="0" borderId="5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3" fontId="6" fillId="0" borderId="1" xfId="1" applyFont="1" applyFill="1" applyBorder="1" applyAlignment="1">
      <alignment horizontal="center" vertical="center"/>
    </xf>
    <xf numFmtId="44" fontId="6" fillId="0" borderId="1" xfId="0" applyNumberFormat="1" applyFont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6" fillId="0" borderId="0" xfId="1" applyFont="1" applyFill="1" applyBorder="1" applyAlignment="1">
      <alignment horizontal="center" vertical="center"/>
    </xf>
  </cellXfs>
  <cellStyles count="7">
    <cellStyle name="Normal" xfId="0" builtinId="0"/>
    <cellStyle name="Vírgula 2" xfId="2" xr:uid="{3DE6DC56-511A-4443-A89C-913B5C863F07}"/>
    <cellStyle name="Vírgula 2 2" xfId="4" xr:uid="{09976057-387F-4706-A4D7-41AFEAD35854}"/>
    <cellStyle name="Vírgula 2 3" xfId="6" xr:uid="{3A12B4A2-0D1A-4C0F-86D8-0D1510149414}"/>
    <cellStyle name="Vírgula 2 4" xfId="1" xr:uid="{D65CABEF-4B55-4688-8E19-5C8E7542D649}"/>
    <cellStyle name="Vírgula 3" xfId="3" xr:uid="{54BD9229-702B-4A44-A5F5-F254F7A55130}"/>
    <cellStyle name="Vírgula 4" xfId="5" xr:uid="{BC945CFC-FA35-47CA-8229-406AAD31FF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2BA9-49F3-47CB-8FEB-3BAC44BAADBB}">
  <sheetPr>
    <pageSetUpPr autoPageBreaks="0" fitToPage="1"/>
  </sheetPr>
  <dimension ref="A2:S26"/>
  <sheetViews>
    <sheetView showGridLines="0" tabSelected="1" zoomScale="90" zoomScaleNormal="90" workbookViewId="0">
      <selection activeCell="M15" sqref="M15"/>
    </sheetView>
  </sheetViews>
  <sheetFormatPr defaultColWidth="9.36328125" defaultRowHeight="12.5" x14ac:dyDescent="0.25"/>
  <cols>
    <col min="1" max="1" width="1.54296875" style="9" customWidth="1"/>
    <col min="2" max="2" width="11.54296875" style="9" customWidth="1"/>
    <col min="3" max="3" width="9.36328125" style="9" customWidth="1"/>
    <col min="4" max="4" width="22.90625" style="3" customWidth="1"/>
    <col min="5" max="5" width="11.36328125" style="9" customWidth="1"/>
    <col min="6" max="6" width="19.6328125" style="9" customWidth="1"/>
    <col min="7" max="7" width="25.36328125" style="9" customWidth="1"/>
    <col min="8" max="8" width="15.453125" style="9" customWidth="1"/>
    <col min="9" max="9" width="9.54296875" style="5" customWidth="1"/>
    <col min="10" max="10" width="12.453125" style="29" customWidth="1"/>
    <col min="11" max="11" width="18.54296875" style="29" customWidth="1"/>
    <col min="12" max="13" width="10.453125" style="5" customWidth="1"/>
    <col min="14" max="14" width="11.90625" style="9" customWidth="1"/>
    <col min="15" max="15" width="17.6328125" style="9" customWidth="1"/>
    <col min="16" max="16" width="10.36328125" style="5" customWidth="1"/>
    <col min="17" max="17" width="23.90625" style="13" customWidth="1"/>
    <col min="18" max="18" width="16.453125" style="13" customWidth="1"/>
    <col min="19" max="19" width="10.36328125" style="9" customWidth="1"/>
    <col min="20" max="16384" width="9.36328125" style="9"/>
  </cols>
  <sheetData>
    <row r="2" spans="2:19" ht="13" x14ac:dyDescent="0.3">
      <c r="B2" s="1" t="s">
        <v>0</v>
      </c>
      <c r="C2" s="2" t="s">
        <v>36</v>
      </c>
      <c r="E2" s="4"/>
      <c r="F2" s="4"/>
      <c r="G2" s="4"/>
      <c r="H2" s="4"/>
      <c r="J2" s="6"/>
      <c r="K2" s="6"/>
      <c r="L2" s="7"/>
      <c r="M2" s="7"/>
      <c r="N2" s="4"/>
      <c r="O2" s="4"/>
      <c r="P2" s="7"/>
      <c r="Q2" s="8"/>
      <c r="R2" s="8"/>
    </row>
    <row r="3" spans="2:19" ht="13" x14ac:dyDescent="0.3">
      <c r="B3" s="10" t="s">
        <v>1</v>
      </c>
      <c r="C3" s="3" t="s">
        <v>37</v>
      </c>
      <c r="E3" s="4"/>
      <c r="F3" s="4"/>
      <c r="G3" s="4"/>
      <c r="H3" s="4"/>
      <c r="I3" s="7"/>
      <c r="J3" s="6"/>
      <c r="K3" s="6"/>
      <c r="L3" s="7"/>
      <c r="M3" s="7"/>
      <c r="N3" s="4"/>
      <c r="O3" s="4"/>
      <c r="P3" s="7"/>
      <c r="Q3" s="8"/>
      <c r="R3" s="8"/>
    </row>
    <row r="4" spans="2:19" ht="13" x14ac:dyDescent="0.3">
      <c r="B4" s="11" t="s">
        <v>2</v>
      </c>
      <c r="C4" s="2"/>
      <c r="D4" s="2" t="s">
        <v>3</v>
      </c>
      <c r="E4" s="4"/>
      <c r="F4" s="4"/>
      <c r="G4" s="4" t="s">
        <v>4</v>
      </c>
      <c r="H4" s="4"/>
      <c r="I4" s="7"/>
      <c r="J4" s="6"/>
      <c r="K4" s="6"/>
      <c r="L4" s="7"/>
      <c r="M4" s="7"/>
      <c r="N4" s="4"/>
      <c r="O4" s="4"/>
      <c r="P4" s="7"/>
      <c r="Q4" s="8"/>
      <c r="R4" s="8"/>
    </row>
    <row r="5" spans="2:19" ht="13" x14ac:dyDescent="0.3">
      <c r="B5" s="11"/>
      <c r="C5" s="4"/>
      <c r="D5" s="12"/>
      <c r="E5" s="4"/>
      <c r="F5" s="4"/>
      <c r="H5" s="4"/>
      <c r="I5" s="7"/>
      <c r="J5" s="6"/>
      <c r="K5" s="6"/>
      <c r="L5" s="7"/>
      <c r="M5" s="7"/>
      <c r="N5" s="4"/>
      <c r="O5" s="4"/>
      <c r="P5" s="7"/>
    </row>
    <row r="6" spans="2:19" ht="13" x14ac:dyDescent="0.3">
      <c r="B6" s="11" t="s">
        <v>5</v>
      </c>
      <c r="C6" s="14"/>
      <c r="E6" s="4"/>
      <c r="F6" s="4"/>
      <c r="G6" s="4"/>
      <c r="H6" s="4"/>
      <c r="I6" s="7"/>
      <c r="J6" s="6"/>
      <c r="K6" s="6"/>
      <c r="L6" s="7"/>
      <c r="M6" s="7"/>
      <c r="N6" s="4"/>
      <c r="O6" s="4"/>
      <c r="P6" s="7"/>
    </row>
    <row r="7" spans="2:19" ht="13" x14ac:dyDescent="0.3">
      <c r="B7" s="11" t="s">
        <v>6</v>
      </c>
      <c r="C7" s="14"/>
      <c r="D7" s="12"/>
      <c r="E7" s="4"/>
      <c r="F7" s="4"/>
      <c r="G7" s="4"/>
      <c r="H7" s="4"/>
      <c r="I7" s="7"/>
      <c r="J7" s="6"/>
      <c r="K7" s="6"/>
      <c r="L7" s="7"/>
      <c r="M7" s="7"/>
      <c r="N7" s="4"/>
      <c r="O7" s="4"/>
      <c r="P7" s="7"/>
      <c r="Q7" s="8"/>
      <c r="R7" s="8"/>
    </row>
    <row r="8" spans="2:19" s="15" customFormat="1" x14ac:dyDescent="0.15">
      <c r="D8" s="16"/>
      <c r="I8" s="17"/>
      <c r="L8" s="17"/>
      <c r="M8" s="17"/>
      <c r="P8" s="17"/>
      <c r="Q8" s="18"/>
      <c r="R8" s="18"/>
    </row>
    <row r="9" spans="2:19" s="15" customFormat="1" x14ac:dyDescent="0.15">
      <c r="D9" s="16"/>
      <c r="I9" s="17"/>
      <c r="L9" s="17"/>
      <c r="M9" s="17"/>
      <c r="P9" s="17"/>
      <c r="Q9" s="18"/>
      <c r="R9" s="18"/>
    </row>
    <row r="10" spans="2:19" s="24" customFormat="1" ht="61.5" customHeight="1" x14ac:dyDescent="0.35">
      <c r="B10" s="19" t="s">
        <v>7</v>
      </c>
      <c r="C10" s="19" t="s">
        <v>8</v>
      </c>
      <c r="D10" s="19" t="s">
        <v>9</v>
      </c>
      <c r="E10" s="20" t="s">
        <v>10</v>
      </c>
      <c r="F10" s="19" t="s">
        <v>11</v>
      </c>
      <c r="G10" s="19" t="s">
        <v>12</v>
      </c>
      <c r="H10" s="21" t="s">
        <v>13</v>
      </c>
      <c r="I10" s="21" t="s">
        <v>14</v>
      </c>
      <c r="J10" s="19" t="s">
        <v>15</v>
      </c>
      <c r="K10" s="20" t="s">
        <v>16</v>
      </c>
      <c r="L10" s="22" t="s">
        <v>17</v>
      </c>
      <c r="M10" s="22" t="s">
        <v>48</v>
      </c>
      <c r="N10" s="20" t="s">
        <v>18</v>
      </c>
      <c r="O10" s="20" t="s">
        <v>3</v>
      </c>
      <c r="P10" s="23" t="s">
        <v>19</v>
      </c>
      <c r="Q10" s="19" t="s">
        <v>20</v>
      </c>
      <c r="R10" s="19" t="s">
        <v>21</v>
      </c>
      <c r="S10" s="19" t="s">
        <v>22</v>
      </c>
    </row>
    <row r="11" spans="2:19" ht="39" customHeight="1" x14ac:dyDescent="0.25">
      <c r="B11" s="41">
        <v>999999999</v>
      </c>
      <c r="C11" s="41">
        <v>46002</v>
      </c>
      <c r="D11" s="42" t="s">
        <v>38</v>
      </c>
      <c r="E11" s="46">
        <v>756813597</v>
      </c>
      <c r="F11" s="43">
        <v>46142</v>
      </c>
      <c r="G11" s="44" t="s">
        <v>23</v>
      </c>
      <c r="H11" s="48">
        <v>310.11</v>
      </c>
      <c r="I11" s="42">
        <v>5.0259</v>
      </c>
      <c r="J11" s="48" t="s">
        <v>24</v>
      </c>
      <c r="K11" s="44">
        <f>H11*I11</f>
        <v>1558.5818490000001</v>
      </c>
      <c r="L11" s="42" t="s">
        <v>25</v>
      </c>
      <c r="M11" s="42">
        <v>2800</v>
      </c>
      <c r="N11" s="45">
        <v>2.9000000000000001E-2</v>
      </c>
      <c r="O11" s="49">
        <f>K11*N11</f>
        <v>45.198873621000004</v>
      </c>
      <c r="P11" s="47"/>
      <c r="Q11" s="42" t="s">
        <v>46</v>
      </c>
      <c r="R11" s="42"/>
      <c r="S11" s="42"/>
    </row>
    <row r="12" spans="2:19" s="25" customFormat="1" ht="13" x14ac:dyDescent="0.25">
      <c r="D12" s="26"/>
      <c r="E12" s="26"/>
      <c r="F12" s="27"/>
      <c r="G12" s="28"/>
      <c r="H12" s="50">
        <f>SUM(H11:H11)</f>
        <v>310.11</v>
      </c>
      <c r="I12" s="5"/>
      <c r="J12" s="29"/>
      <c r="K12" s="50">
        <f>SUM(K11:K11)</f>
        <v>1558.5818490000001</v>
      </c>
      <c r="L12" s="5"/>
      <c r="M12" s="5"/>
      <c r="N12" s="9"/>
      <c r="O12" s="50">
        <f>SUM(O11:O11)</f>
        <v>45.198873621000004</v>
      </c>
      <c r="Q12" s="26"/>
      <c r="R12" s="26"/>
      <c r="S12" s="26"/>
    </row>
    <row r="13" spans="2:19" s="25" customFormat="1" ht="13" x14ac:dyDescent="0.25">
      <c r="D13" s="26"/>
      <c r="E13" s="26"/>
      <c r="F13" s="27"/>
      <c r="G13" s="28"/>
      <c r="H13" s="28">
        <v>1</v>
      </c>
      <c r="I13" s="5"/>
      <c r="J13" s="29"/>
      <c r="K13" s="29"/>
      <c r="L13" s="5"/>
      <c r="M13" s="5"/>
      <c r="N13" s="9"/>
      <c r="O13" s="9"/>
      <c r="Q13" s="26"/>
      <c r="R13" s="26"/>
      <c r="S13" s="26"/>
    </row>
    <row r="14" spans="2:19" s="25" customFormat="1" ht="13" x14ac:dyDescent="0.35">
      <c r="D14" s="26"/>
      <c r="E14" s="26"/>
      <c r="F14" s="27"/>
      <c r="G14" s="28"/>
      <c r="H14" s="51"/>
      <c r="I14" s="26"/>
      <c r="J14" s="26"/>
      <c r="K14" s="30"/>
      <c r="L14" s="26"/>
      <c r="M14" s="26"/>
      <c r="N14" s="31"/>
      <c r="O14" s="30"/>
      <c r="Q14" s="26"/>
      <c r="R14" s="26"/>
      <c r="S14" s="26"/>
    </row>
    <row r="15" spans="2:19" ht="39" x14ac:dyDescent="0.25">
      <c r="B15" s="19" t="s">
        <v>7</v>
      </c>
      <c r="C15" s="19" t="s">
        <v>8</v>
      </c>
      <c r="D15" s="19" t="s">
        <v>9</v>
      </c>
      <c r="E15" s="20" t="s">
        <v>10</v>
      </c>
      <c r="F15" s="19" t="s">
        <v>11</v>
      </c>
      <c r="G15" s="19" t="s">
        <v>12</v>
      </c>
      <c r="H15" s="21" t="s">
        <v>13</v>
      </c>
      <c r="I15" s="21" t="s">
        <v>14</v>
      </c>
      <c r="J15" s="19" t="s">
        <v>15</v>
      </c>
      <c r="K15" s="20" t="s">
        <v>16</v>
      </c>
      <c r="L15" s="22" t="s">
        <v>17</v>
      </c>
      <c r="M15" s="22" t="s">
        <v>48</v>
      </c>
      <c r="N15" s="20" t="s">
        <v>18</v>
      </c>
      <c r="O15" s="20" t="s">
        <v>3</v>
      </c>
      <c r="P15" s="23" t="s">
        <v>19</v>
      </c>
      <c r="Q15" s="19" t="s">
        <v>20</v>
      </c>
      <c r="R15" s="19" t="s">
        <v>21</v>
      </c>
      <c r="S15" s="19" t="s">
        <v>22</v>
      </c>
    </row>
    <row r="16" spans="2:19" ht="39" customHeight="1" x14ac:dyDescent="0.25">
      <c r="B16" s="41">
        <v>999999999</v>
      </c>
      <c r="C16" s="41">
        <v>46002</v>
      </c>
      <c r="D16" s="42" t="s">
        <v>39</v>
      </c>
      <c r="E16" s="46" t="s">
        <v>26</v>
      </c>
      <c r="F16" s="43">
        <v>46153</v>
      </c>
      <c r="G16" s="44" t="s">
        <v>27</v>
      </c>
      <c r="H16" s="48">
        <v>33600</v>
      </c>
      <c r="I16" s="42">
        <v>5.0259</v>
      </c>
      <c r="J16" s="48" t="s">
        <v>24</v>
      </c>
      <c r="K16" s="44">
        <f>H16*I16</f>
        <v>168870.24</v>
      </c>
      <c r="L16" s="42" t="s">
        <v>25</v>
      </c>
      <c r="M16" s="42">
        <v>2800</v>
      </c>
      <c r="N16" s="45">
        <v>2.9000000000000001E-2</v>
      </c>
      <c r="O16" s="49">
        <f>K16*N16</f>
        <v>4897.2369600000002</v>
      </c>
      <c r="P16" s="47"/>
      <c r="Q16" s="42" t="s">
        <v>45</v>
      </c>
      <c r="R16" s="42"/>
      <c r="S16" s="42"/>
    </row>
    <row r="17" spans="1:19" ht="40.25" customHeight="1" x14ac:dyDescent="0.25">
      <c r="B17" s="41">
        <v>999999999</v>
      </c>
      <c r="C17" s="41">
        <v>46992</v>
      </c>
      <c r="D17" s="42" t="s">
        <v>40</v>
      </c>
      <c r="E17" s="42">
        <v>12052026</v>
      </c>
      <c r="F17" s="43">
        <v>46154</v>
      </c>
      <c r="G17" s="44" t="s">
        <v>28</v>
      </c>
      <c r="H17" s="48">
        <v>487.55</v>
      </c>
      <c r="I17" s="42">
        <v>5.0259</v>
      </c>
      <c r="J17" s="48" t="s">
        <v>24</v>
      </c>
      <c r="K17" s="44">
        <f>H17*I17</f>
        <v>2450.3775450000003</v>
      </c>
      <c r="L17" s="42" t="s">
        <v>29</v>
      </c>
      <c r="M17" s="42">
        <v>2800</v>
      </c>
      <c r="N17" s="45">
        <v>0.02</v>
      </c>
      <c r="O17" s="49">
        <f>K17*N17</f>
        <v>49.007550900000005</v>
      </c>
      <c r="P17" s="47"/>
      <c r="Q17" s="42" t="s">
        <v>43</v>
      </c>
      <c r="R17" s="42"/>
      <c r="S17" s="42"/>
    </row>
    <row r="18" spans="1:19" ht="39" customHeight="1" x14ac:dyDescent="0.25">
      <c r="B18" s="41">
        <v>999999999</v>
      </c>
      <c r="C18" s="41">
        <v>46992</v>
      </c>
      <c r="D18" s="42" t="s">
        <v>41</v>
      </c>
      <c r="E18" s="46">
        <v>20052026</v>
      </c>
      <c r="F18" s="43">
        <v>46162</v>
      </c>
      <c r="G18" s="44" t="s">
        <v>30</v>
      </c>
      <c r="H18" s="48">
        <v>9966.6</v>
      </c>
      <c r="I18" s="42">
        <v>5.0259</v>
      </c>
      <c r="J18" s="48" t="s">
        <v>24</v>
      </c>
      <c r="K18" s="44">
        <f>H18*I18</f>
        <v>50091.134940000004</v>
      </c>
      <c r="L18" s="42" t="s">
        <v>29</v>
      </c>
      <c r="M18" s="42">
        <v>3085</v>
      </c>
      <c r="N18" s="45">
        <v>0.02</v>
      </c>
      <c r="O18" s="49">
        <f>K18*N18</f>
        <v>1001.8226988000001</v>
      </c>
      <c r="P18" s="47"/>
      <c r="Q18" s="42" t="s">
        <v>44</v>
      </c>
      <c r="R18" s="42"/>
      <c r="S18" s="42"/>
    </row>
    <row r="19" spans="1:19" ht="39" customHeight="1" x14ac:dyDescent="0.25">
      <c r="B19" s="41">
        <v>999999999</v>
      </c>
      <c r="C19" s="41">
        <v>46992</v>
      </c>
      <c r="D19" s="42" t="s">
        <v>42</v>
      </c>
      <c r="E19" s="42">
        <v>20052026</v>
      </c>
      <c r="F19" s="43">
        <v>46162</v>
      </c>
      <c r="G19" s="44" t="s">
        <v>30</v>
      </c>
      <c r="H19" s="48">
        <v>4580</v>
      </c>
      <c r="I19" s="42">
        <v>5.9047999999999998</v>
      </c>
      <c r="J19" s="48" t="s">
        <v>31</v>
      </c>
      <c r="K19" s="44">
        <f>H19*I19</f>
        <v>27043.984</v>
      </c>
      <c r="L19" s="42" t="s">
        <v>29</v>
      </c>
      <c r="M19" s="42">
        <v>3085</v>
      </c>
      <c r="N19" s="45">
        <v>0.02</v>
      </c>
      <c r="O19" s="49">
        <f>K19*N19</f>
        <v>540.87968000000001</v>
      </c>
      <c r="P19" s="47"/>
      <c r="Q19" s="42" t="s">
        <v>47</v>
      </c>
      <c r="R19" s="42"/>
      <c r="S19" s="42"/>
    </row>
    <row r="20" spans="1:19" s="5" customFormat="1" ht="13" x14ac:dyDescent="0.25">
      <c r="A20" s="9"/>
      <c r="B20" s="9"/>
      <c r="C20" s="9"/>
      <c r="D20" s="3"/>
      <c r="E20" s="9"/>
      <c r="F20" s="9"/>
      <c r="G20" s="9"/>
      <c r="H20" s="50">
        <f>SUM(H16:H19)</f>
        <v>48634.15</v>
      </c>
      <c r="J20" s="29"/>
      <c r="K20" s="50">
        <f>SUM(K16:K19)</f>
        <v>248455.736485</v>
      </c>
      <c r="N20" s="9"/>
      <c r="O20" s="50">
        <f>SUM(O16:O19)</f>
        <v>6488.9468897000006</v>
      </c>
      <c r="Q20" s="13"/>
      <c r="R20" s="13"/>
      <c r="S20" s="9"/>
    </row>
    <row r="21" spans="1:19" s="5" customFormat="1" x14ac:dyDescent="0.25">
      <c r="A21" s="9"/>
      <c r="B21" s="9"/>
      <c r="C21" s="9"/>
      <c r="D21" s="3"/>
      <c r="E21" s="9"/>
      <c r="F21" s="9"/>
      <c r="G21" s="9"/>
      <c r="H21" s="9"/>
      <c r="J21" s="29"/>
      <c r="K21" s="29"/>
      <c r="L21" s="29"/>
      <c r="M21" s="29"/>
      <c r="N21" s="29"/>
      <c r="O21" s="29"/>
      <c r="P21" s="29"/>
      <c r="Q21" s="13"/>
      <c r="R21" s="13"/>
      <c r="S21" s="9"/>
    </row>
    <row r="22" spans="1:19" ht="13" thickBot="1" x14ac:dyDescent="0.3"/>
    <row r="23" spans="1:19" ht="26" x14ac:dyDescent="0.25">
      <c r="E23" s="32" t="s">
        <v>32</v>
      </c>
      <c r="F23" s="33" t="s">
        <v>33</v>
      </c>
      <c r="G23" s="34" t="s">
        <v>34</v>
      </c>
    </row>
    <row r="24" spans="1:19" x14ac:dyDescent="0.25">
      <c r="E24" s="35">
        <v>46113</v>
      </c>
      <c r="F24" s="36">
        <f>O12</f>
        <v>45.198873621000004</v>
      </c>
      <c r="G24" s="37">
        <v>46152</v>
      </c>
    </row>
    <row r="25" spans="1:19" x14ac:dyDescent="0.25">
      <c r="E25" s="35">
        <v>46143</v>
      </c>
      <c r="F25" s="36">
        <f>O20</f>
        <v>6488.9468897000006</v>
      </c>
      <c r="G25" s="37">
        <v>46183</v>
      </c>
    </row>
    <row r="26" spans="1:19" ht="13.5" thickBot="1" x14ac:dyDescent="0.35">
      <c r="E26" s="38" t="s">
        <v>35</v>
      </c>
      <c r="F26" s="39">
        <f>SUM(F24:F25)</f>
        <v>6534.1457633210002</v>
      </c>
      <c r="G26" s="40"/>
    </row>
  </sheetData>
  <printOptions horizontalCentered="1"/>
  <pageMargins left="0.25" right="0.25" top="0.75" bottom="0.75" header="0.3" footer="0.3"/>
  <pageSetup paperSize="9" scale="5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Analise_Pagto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Jaemilton Oliveira</dc:creator>
  <cp:lastModifiedBy>Jaemilton Oliveira</cp:lastModifiedBy>
  <dcterms:created xsi:type="dcterms:W3CDTF">2026-07-18T19:02:13Z</dcterms:created>
  <dcterms:modified xsi:type="dcterms:W3CDTF">2026-07-20T15:19:11Z</dcterms:modified>
</cp:coreProperties>
</file>